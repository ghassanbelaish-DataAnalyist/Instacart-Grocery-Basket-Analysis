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173e40e08ad3b872/Data Analyst Program CareerFoundry/Data Immersion/4.3 data 4/"/>
    </mc:Choice>
  </mc:AlternateContent>
  <xr:revisionPtr revIDLastSave="353" documentId="13_ncr:1_{C7F57B08-78AF-490E-A850-4939715D3CC4}" xr6:coauthVersionLast="47" xr6:coauthVersionMax="47" xr10:uidLastSave="{0669C5AD-F7BF-46BD-AD54-B42055D71BC9}"/>
  <bookViews>
    <workbookView xWindow="-110" yWindow="-110" windowWidth="19420" windowHeight="1030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externalReferences>
    <externalReference r:id="rId8"/>
  </externalReferences>
  <calcPr calcId="152511"/>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future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<sst xmlns="http://schemas.openxmlformats.org/spreadsheetml/2006/main" count="212" uniqueCount="170">
  <si>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</si>
  <si>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</si>
  <si>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</si>
  <si>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</si>
  <si>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</si>
  <si>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</si>
  <si>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</si>
  <si>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</si>
  <si>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</si>
  <si>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</si>
  <si>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</si>
  <si>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</si>
  <si>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</si>
  <si>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</si>
  <si>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</si>
  <si>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</si>
  <si>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</si>
  <si>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</si>
  <si>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</si>
  <si>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</si>
  <si>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</si>
  <si>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</si>
  <si>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</si>
  <si>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 drop eval_set column from orders.csv</t>
  </si>
  <si>
    <t>transposing department data</t>
  </si>
  <si>
    <t># renamed order_dow column to order_days_of_week</t>
  </si>
  <si>
    <t># changed the order_number &amp; order_id &amp; user_id columns to string</t>
  </si>
  <si>
    <t>First_order</t>
  </si>
  <si>
    <t>Orders</t>
  </si>
  <si>
    <t>Order number</t>
  </si>
  <si>
    <t>if first order then true</t>
  </si>
  <si>
    <t>df_ords_prods_merge</t>
  </si>
  <si>
    <t>price_range_loc</t>
  </si>
  <si>
    <t>Price</t>
  </si>
  <si>
    <t>if row['prices'] &lt;= 5: return 'Low-range product'
    elif (row['prices'] &gt; 5) and (row['prices'] &lt;= 15): return 'Mid-range product'
    elif row['prices'] &gt; 15:  return 'High range product'
    else: return 'Not enough data'</t>
  </si>
  <si>
    <t>busiest_day</t>
  </si>
  <si>
    <t>orders_day_of_week</t>
  </si>
  <si>
    <t>if value == 0: result.append("Busiest day")
  elif value == 4: result.append("Least busy")
  else: result.append("Regularly busy")</t>
  </si>
  <si>
    <t>order_hour_of_day</t>
  </si>
  <si>
    <t>busiest_period_of_day</t>
  </si>
  <si>
    <t>if value in [10, 11, 14, 15, 13, 12]: result_3.append("Most orders")
  elif value in [0, 1, 5, 2, 4, 3]: result_3.append("Fewest orders")
  else: result_3.append("Average orders")</t>
  </si>
  <si>
    <t>max_order</t>
  </si>
  <si>
    <t>order_number</t>
  </si>
  <si>
    <t>ords_prods_merge['max_order'] = ords_prods_merge.groupby(['user_id'])['order_number'].transform(np.max)</t>
  </si>
  <si>
    <t>loyalty_flag</t>
  </si>
  <si>
    <t>ords_prods_merge.loc[ords_prods_merge['max_order'] &gt; 40, 'loyalty_flag'] = 'Loyal customer'
ords_prods_merge.loc[(ords_prods_merge['max_order'] &lt;= 40) &amp; (ords_prods_merge['max_order'] &gt; 10), 'loyalty_flag'] = 'Regular customer'
ords_prods_merge.loc[ords_prods_merge['max_order'] &lt;= 10, 'loyalty_flag'] = 'New customer'</t>
  </si>
  <si>
    <t>average_spend</t>
  </si>
  <si>
    <t>prices</t>
  </si>
  <si>
    <t>ords_prods_merge['average_spend']=ords_prods_merge.groupby(['user_id'])['prices'].transform(np.mean)</t>
  </si>
  <si>
    <t>spender_flag</t>
  </si>
  <si>
    <t>ords_prods_merge.loc[ords_prods_merge['average_spend']&lt;10,'spender_flag']='Low_spender'
ords_prods_merge.loc[ords_prods_merge['average_spend']&gt;= 10, 'spender_flag'] = 'High_spender'</t>
  </si>
  <si>
    <t>exclusion_flag</t>
  </si>
  <si>
    <t>orders_products_customer_merged_derived_aggrigated.pkl</t>
  </si>
  <si>
    <t>["order_number"] &lt; 5</t>
  </si>
  <si>
    <t>Note:</t>
  </si>
  <si>
    <t>Customers dataset and prices were fabricated for the purpose of this course by Careerfoundry</t>
  </si>
  <si>
    <t>Removed</t>
  </si>
  <si>
    <t>5 duplicates are removed</t>
  </si>
  <si>
    <t>no action</t>
  </si>
  <si>
    <t>no action (first order)</t>
  </si>
  <si>
    <t>user_id</t>
  </si>
  <si>
    <t>Surnam</t>
  </si>
  <si>
    <t>STATE</t>
  </si>
  <si>
    <t>date_joined</t>
  </si>
  <si>
    <t>n_dependants</t>
  </si>
  <si>
    <t>fam_status</t>
  </si>
  <si>
    <t>income</t>
  </si>
  <si>
    <t>irrelevant for the task</t>
  </si>
  <si>
    <t>order_dow was vague</t>
  </si>
  <si>
    <t>it looks integer but it should be string because it has no meaningful valuable as integer</t>
  </si>
  <si>
    <t xml:space="preserve">Changed to User ID for uniform column names </t>
  </si>
  <si>
    <t xml:space="preserve">Changed to Last Name for uniform column names </t>
  </si>
  <si>
    <t>Changed to State for uniform column names</t>
  </si>
  <si>
    <t>Changed to Date Joined for uniform column names</t>
  </si>
  <si>
    <t>Changed to Number of  Dependents for uniform column names</t>
  </si>
  <si>
    <t>Changed to Family Status for uniform column names</t>
  </si>
  <si>
    <t>Changed to Income for uniform column names</t>
  </si>
  <si>
    <t>final_df</t>
  </si>
  <si>
    <t>Region</t>
  </si>
  <si>
    <t>State</t>
  </si>
  <si>
    <t>final_project</t>
  </si>
  <si>
    <t>customer_profile</t>
  </si>
  <si>
    <t>Age and Number of Dependents</t>
  </si>
  <si>
    <t>northeast = ["Connecticut", "Maine", "Massachusetts", "New Hampshire", 
             "Rhode Island", "Vermont", "New Jersey", "New York", "Pennsylvania"]
midwest = ["Illinois", "Indiana", "Michigan", "Ohio", "Wisconsin", 
           "Iowa", "Kansas", "Minnesota", "Missouri", 
           "Nebraska", "North Dakota", "South Dakota"]
south = ["Delaware", "Florida", "Georgia", "Maryland", "North Carolina", "South Carolina", 
         "Virginia", "District of Columbia", "West Virginia", "Alabama", "Kentucky", 
         "Mississippi", "Tennessee", "Arkansas", "Louisiana", "Oklahoma", "Texas"]
west = ["Arizona", "Colorado", "Idaho", "Montana", "Nevada", "New Mexico", 
        "Utah", "Wyoming", "Alaska", "California", "Hawaii", "Oregon", "Washington"]
def region(state):
    if state in northeast:
        return "Northeast"
    elif state in midwest:
        return "Midwest"
    elif state in south:
        return "South"
    elif state in west:
        return "West"
    else:
        return "Unknown"
df["Region"] = df["State"].apply(region)</t>
  </si>
  <si>
    <t>ustomer_orders = df.groupby("User ID")["order_number"].max().reset_index()
customer_orders["exclusion_flag"] = customer_orders["order_number"] &lt; 5</t>
  </si>
  <si>
    <t xml:space="preserve">def customer_profile(row):
    # Young Adult
    if row['Age'] &lt; 30 and row['Number of Dependents'] == 0:
        return "Young Adult"
    # Young Parent
    if 25 &lt;= row['Age'] &lt;= 40 and row['Number of Dependents'] &gt; 0 :
        return "Young Parent"
    # Wealthy Professional
    if row['Income'] &gt; 100000 and row['Number of Dependents'] &lt;= 1:
        return "Wealthy Professional"
    # Budget-Conscious Family
    if row['Income'] &lt; 60000 and row['Number of Dependents'] &gt;= 2:
        return "Budget-Conscious Family"
    # Retired / Old Adult
    if row['Age'] &gt; 60 :
        return "Retired/Old Adult"
    return "Other"
df_active["customer_profile"] = df_active.apply(customer_profile, axis=1)
 </t>
  </si>
  <si>
    <t>count</t>
  </si>
  <si>
    <t>Other</t>
  </si>
  <si>
    <t>Wealthy Professional</t>
  </si>
  <si>
    <t>Retired/Old Adult</t>
  </si>
  <si>
    <t>Young Parent</t>
  </si>
  <si>
    <t>Budget-Conscious Family</t>
  </si>
  <si>
    <t>Young Adult</t>
  </si>
  <si>
    <t>South</t>
  </si>
  <si>
    <t>West</t>
  </si>
  <si>
    <t>Midwest</t>
  </si>
  <si>
    <t>Northeast</t>
  </si>
  <si>
    <t>Regular customer</t>
  </si>
  <si>
    <t>Loyal customer</t>
  </si>
  <si>
    <t>New customer</t>
  </si>
  <si>
    <t>spending_flag</t>
  </si>
  <si>
    <t>Low spender</t>
  </si>
  <si>
    <t>High spender</t>
  </si>
  <si>
    <t>order_frequency_flag</t>
  </si>
  <si>
    <t>Frequent customer</t>
  </si>
  <si>
    <t>Non-frequent customer</t>
  </si>
  <si>
    <t>Mid-range product</t>
  </si>
  <si>
    <t>Low-range product</t>
  </si>
  <si>
    <t>High-range product</t>
  </si>
  <si>
    <t>busiest day</t>
  </si>
  <si>
    <t>Regularly busy</t>
  </si>
  <si>
    <t>Busiest day</t>
  </si>
  <si>
    <t>Least busy</t>
  </si>
  <si>
    <t>busiest days</t>
  </si>
  <si>
    <t>Regular days</t>
  </si>
  <si>
    <t>Busiest days</t>
  </si>
  <si>
    <t>Slowest days</t>
  </si>
  <si>
    <t>Key Question</t>
  </si>
  <si>
    <t>Objective</t>
  </si>
  <si>
    <t>Comments</t>
  </si>
  <si>
    <t>Data / Figures</t>
  </si>
  <si>
    <t>Identify busiest days of week and hours of day</t>
  </si>
  <si>
    <t>Histogram of orders by hour; Bar chart of orders by day of week</t>
  </si>
  <si>
    <t>Identify times of day when people spend most</t>
  </si>
  <si>
    <t>Line chart of prices by day of week and by hour</t>
  </si>
  <si>
    <t>Simplify product price ranges for marketing</t>
  </si>
  <si>
    <t>Mid-range: 21,865,987; Low-range: 10,126,321; High-range: 412,551</t>
  </si>
  <si>
    <t>Identify most popular product types</t>
  </si>
  <si>
    <t>Bar chart: Most Popular Departments</t>
  </si>
  <si>
    <t>Distribution of brand loyalty</t>
  </si>
  <si>
    <t>Differences in ordering by region</t>
  </si>
  <si>
    <t>Bar chart: Spending habits by region</t>
  </si>
  <si>
    <t>Customer demographic profiles</t>
  </si>
  <si>
    <t>Bar chart of profiles; Scatter plot of Age vs Income; Regional distribution</t>
  </si>
  <si>
    <t>Differences in ordering by customer profile</t>
  </si>
  <si>
    <t>Heatmap: Orders by day of week and customer profile; Bar chart: Orders by department and profile</t>
  </si>
  <si>
    <t>Charts</t>
  </si>
  <si>
    <t>Orders per day of week</t>
  </si>
  <si>
    <t>Orders per hour of day</t>
  </si>
  <si>
    <t>Customer orders occur throughout the week. the sales raise on the begining of the week, as Households stock for the week. and then the sales decline until they reach the lowes in the middle of the week.
it is recommended to lunch marketing campain to incourage purchaing habits for products that are consumed in the middel of the week.</t>
  </si>
  <si>
    <t>From 00:00 to 05:00
Spending is relatively high, even though this period has fewer orders. The average amount spent per product is noticeably elevated.
Possible reasons? Late-night customers shop and prepare for the next day. They make bigger orders combiling multiple products in one order at night and order small orders during the day to cover unplanned needs.
From 07:00 to 10:00
Although order volume increases (as shown in Step No. 3), the average spending decreases.
Possible reasons? Users may be quickly placing smaller, more routine orders during work hours.
From 10:00 onwards
Average spending begins to rise again.
Possible reasons? Regular daytime shoppers returning to larger or more intentional purchases.
Opportunities
1. Analyse the purchasing behaviors of the night time customers to know what they usually order in the morning. and then offer them backages or provide them with suggestions.
2. Consider targeted offers—such as free delivery or discounts—between 5 AM and 10 AM to boost sales during this lower-spending window.
3. promote high value items during the night period.</t>
  </si>
  <si>
    <t>Cash spent per hour of day</t>
  </si>
  <si>
    <t>Most popular department</t>
  </si>
  <si>
    <t>Top day time products</t>
  </si>
  <si>
    <t>Top night time products</t>
  </si>
  <si>
    <t>bar chart</t>
  </si>
  <si>
    <t>Mid-range products ($5–$15) dominate total purchases, indicating customer preference for moderately priced items. Low-range products (≤$5) are also heavily purchased, showing strong demand for budget options, while high-range products (&gt; $15) represent a very small share and appear to serve more niche or premium needs.</t>
  </si>
  <si>
    <t>Produce is the most frequently ordered department, followed by dairy &amp; eggs and snacks. The bulk, other, and pets departments receive the fewest orders, showing clear differences in customer product preferences.
 It is apparent that top consumed products in weekends and midweeks are similare (almost identical), with approximatly matching sales size. from this we need to conduct further analysis on what are the least sold products in mid weeks to target them in the marketing campain.</t>
  </si>
  <si>
    <t>Regular customers generate the most orders, demonstrating a strong base of returning users. Loyal customers follow with substantial repeat activity, while new customers represent the smallest but still meaningful portion of total orders.</t>
  </si>
  <si>
    <t>Across all U.S. regions, low spenders overwhelmingly dominate (around 99.6–99.7%), with high spenders making up less than 1%. Regional differences in spending levels are minimal.</t>
  </si>
  <si>
    <t>The demographic profiles show “Other,” “Professional,” and “Old Adult” as the largest customer groups, while “Young Adult” and “Budget-Conscious Family” are the smallest. Income generally increases with age despite broad variability. 
Regionally, the South contains the largest share of all profile groups, while the Northeast has the lowest.
Males and Females have equal purchasing power.
People above 40 years old have more income on average comparing to people below 40.</t>
  </si>
  <si>
    <t>Ordering habits vary by profile: weekend orders peak across all profiles, with “Other” and “Wealthy Professional” showing the highest consistent volumes. “Budget-Conscious Family” and “Young Adult” order far less. All profiles most frequently purchase Produce followed by Dairy &amp; Eggs and Snacks, though overall volume is highest among the “Other” and “Wealthy Professional” groups.</t>
  </si>
  <si>
    <t>Recommendation</t>
  </si>
  <si>
    <t>Impact</t>
  </si>
  <si>
    <t>Shift marketing and promotional activity toward low-traffic periods, particularly midweek (Tuesday and Wednesday) and mid-day hours when order volume is lowest. Promote products typically consumed midweek—such as fresh produce refills, snacks, and convenience meals—to stimulate demand.</t>
  </si>
  <si>
    <t>Activating promotions during slow periods smooths weekly sales fluctuations, increases customer engagement when activity is low, and drives incremental midweek revenue.</t>
  </si>
  <si>
    <t>Promote premium, higher-value products during late-night and early-morning hours when customers tend to spend more per transaction. Offer targeted incentives (e.g., free delivery, small discounts) between 5 AM and 10 AM to increase basket sizes during low-spending periods. Introduce curated product bundles tailored to nighttime shoppers.</t>
  </si>
  <si>
    <t>Aligning promotions with natural spending behaviors increases conversion on high-margin items and raises average order value during traditionally low-spend windows.</t>
  </si>
  <si>
    <t>Focus marketing efforts on mid-range priced products ($5–$15), as these represent the strongest purchasing tendency. Use low-priced items (≤$5) as strategic add-ons to increase basket size. Target high-priced products (&gt; $15) to premium customer segments through personalized offers.</t>
  </si>
  <si>
    <t>Promoting the price ranges customers already buy increases conversion, while smart use of add-ons and targeted premium promotions lifts total revenue and margins.</t>
  </si>
  <si>
    <t>Prioritize produce and dairy &amp; eggs in store layout, promotions, and cross-selling strategies. Identify weak-performing midweek items and incorporate them into targeted campaigns to boost their visibility. Reinforce stock availability of top departments and pair them with complementary products in promotions.</t>
  </si>
  <si>
    <t>Highlighting top-performing departments enhances conversion and basket size, while lifting sales of underperforming categories improves overall category balance and total revenue.</t>
  </si>
  <si>
    <t>Encourage new customers to convert into regular users through welcome bundles, limited-time discounts, and personalized recommendations. Strengthen retention among loyal customers by offering loyalty rewards, subscription benefits, and exclusive deals.</t>
  </si>
  <si>
    <t>Increasing customer lifetime value through retention efforts drives consistent revenue growth, while converting new shoppers expands the overall customer base.</t>
  </si>
  <si>
    <t>Focus regional campaigns on areas with the highest customer populations (especially the South) while designing growth campaigns for underrepresented regions like the Northeast. Since spending behavior is similar across regions, use uniform value propositions but adjust messaging to local preferences.</t>
  </si>
  <si>
    <t>Targeting high-density regions maximizes marketing efficiency, while growth-focused regional initiatives expand market share.</t>
  </si>
  <si>
    <t>Target premium product promotions toward older, higher-income segments and professionals. For younger and budget-conscious groups, promote value bundles, discounts, and essential items. Maintain gender-neutral promotions since purchasing power is balanced across genders.</t>
  </si>
  <si>
    <t>Aligning offers with demographic purchasing power increases conversion rates and ensures each customer segment receives relevant, revenue-generating promotions.</t>
  </si>
  <si>
    <t>Design personalized campaigns for each customer profile:
Wealthy Professionals: promote premium, organic, and ready-made products.
Other (general shoppers): highlight everyday essentials and fresh produce.
Budget-Conscious Families: emphasize savings, multipacks, and meal-planning bundles.
Young Adults: promote quick meals, beverages, and low-cost convenience items.</t>
  </si>
  <si>
    <t>Profile-specific targeting increases relevance, boosts order frequency, and lifts average basket size by aligning product offerings to each group's priorities and purchasing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</si>
</sst>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i/>
      <sz val="11"/>
      <color theme="1"/>
      <name val="Calibri"/>
      <family val="2"/>
      <charset val="204"/>
      <scheme val="minor"/>
    </font>
    <font>
      <b/>
      <sz val="7"/>
      <color theme="1"/>
      <name val="Segoe UI"/>
      <family val="2"/>
    </font>
    <font>
      <b/>
      <sz val="11"/>
      <color theme="1"/>
      <name val="Calibri"/>
      <family val="2"/>
      <scheme val="minor"/>
    </font>
    <font>
      <sz val="11"/>
      <color theme="1"/>
      <name val="Arial"/>
      <family val="2"/>
      <charset val="162"/>
    </font>
  </fonts>
  <fills count="3">
    <fill>
      <patternFill patternType="none"/>
    </fill>
    <fill>
      <patternFill patternType="gray125"/>
    </fill>
    <fill>
      <patternFill patternType="solid">
        <fgColor theme="9" tint="0.59999389629810485"/>
        <bgColor indexed="64"/>
      </patternFill>
    </fill>
  </fills>
  <borders count="38">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60">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8"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19" xfId="0" quotePrefix="1" applyBorder="1"/>
    <xf numFmtId="0" fontId="6" fillId="0" borderId="12" xfId="0" applyFont="1" applyBorder="1"/>
    <xf numFmtId="0" fontId="6" fillId="0" borderId="13" xfId="0" applyFont="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7" fillId="0" borderId="0" xfId="0" applyFont="1"/>
    <xf numFmtId="0" fontId="0" fillId="0" borderId="13" xfId="0" applyBorder="1" applyAlignment="1">
      <alignment wrapText="1"/>
    </xf>
    <xf numFmtId="0" fontId="6" fillId="0" borderId="13" xfId="0" applyFont="1" applyBorder="1" applyAlignment="1">
      <alignment wrapText="1"/>
    </xf>
    <xf numFmtId="0" fontId="9" fillId="0" borderId="0" xfId="0" applyFont="1"/>
    <xf numFmtId="0" fontId="0" fillId="0" borderId="29"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right" vertical="center" wrapText="1"/>
    </xf>
    <xf numFmtId="0" fontId="8" fillId="0" borderId="0" xfId="0" applyFont="1" applyAlignment="1">
      <alignment horizontal="right" vertical="center" wrapText="1"/>
    </xf>
    <xf numFmtId="0" fontId="0" fillId="0" borderId="0" xfId="0" applyAlignment="1">
      <alignment vertical="center" wrapText="1"/>
    </xf>
    <xf numFmtId="0" fontId="8" fillId="0" borderId="31" xfId="0" applyFont="1" applyBorder="1" applyAlignment="1">
      <alignment horizontal="center" vertical="center" wrapText="1"/>
    </xf>
    <xf numFmtId="0" fontId="8" fillId="0" borderId="35" xfId="0" applyFont="1" applyBorder="1" applyAlignment="1">
      <alignment horizontal="right" vertical="center" wrapText="1"/>
    </xf>
    <xf numFmtId="0" fontId="0" fillId="0" borderId="32" xfId="0" applyBorder="1" applyAlignment="1">
      <alignment vertical="center" wrapText="1"/>
    </xf>
    <xf numFmtId="0" fontId="0" fillId="0" borderId="36" xfId="0" applyBorder="1" applyAlignment="1">
      <alignment horizontal="right" vertical="center" wrapText="1"/>
    </xf>
    <xf numFmtId="0" fontId="0" fillId="0" borderId="34" xfId="0" applyBorder="1" applyAlignment="1">
      <alignment vertical="center" wrapText="1"/>
    </xf>
    <xf numFmtId="0" fontId="0" fillId="0" borderId="37" xfId="0" applyBorder="1" applyAlignment="1">
      <alignment horizontal="right" vertical="center" wrapText="1"/>
    </xf>
    <xf numFmtId="0" fontId="8" fillId="0" borderId="29" xfId="0" applyFont="1" applyBorder="1" applyAlignment="1">
      <alignment horizontal="center"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0" xfId="0" applyBorder="1" applyAlignment="1">
      <alignment horizontal="center" vertical="center" wrapText="1"/>
    </xf>
    <xf numFmtId="0" fontId="0" fillId="0" borderId="33" xfId="0" applyBorder="1" applyAlignment="1">
      <alignment horizontal="center" vertical="center"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FC5D3"/>
      <color rgb="FF8A58EE"/>
      <color rgb="FFF3318D"/>
      <color rgb="FF057CCD"/>
      <color rgb="FF8C33E5"/>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Price</a:t>
            </a:r>
            <a:r>
              <a:rPr lang="tr-TR" baseline="0"/>
              <a:t> ranges</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clustered"/>
        <c:varyColors val="0"/>
        <c:ser>
          <c:idx val="0"/>
          <c:order val="0"/>
          <c:spPr>
            <a:solidFill>
              <a:srgbClr val="0FC5D3"/>
            </a:solidFill>
            <a:ln>
              <a:noFill/>
            </a:ln>
            <a:effectLst/>
          </c:spPr>
          <c:invertIfNegative val="0"/>
          <c:cat>
            <c:strRef>
              <c:f>'[1]6. Visualizations'!$L$87:$L$89</c:f>
              <c:strCache>
                <c:ptCount val="3"/>
                <c:pt idx="0">
                  <c:v>Mid-range product</c:v>
                </c:pt>
                <c:pt idx="1">
                  <c:v>Low-range product</c:v>
                </c:pt>
                <c:pt idx="2">
                  <c:v>High-range product</c:v>
                </c:pt>
              </c:strCache>
            </c:strRef>
          </c:cat>
          <c:val>
            <c:numRef>
              <c:f>'[1]6. Visualizations'!$M$87:$M$89</c:f>
              <c:numCache>
                <c:formatCode>General</c:formatCode>
                <c:ptCount val="3"/>
                <c:pt idx="0">
                  <c:v>21865987</c:v>
                </c:pt>
                <c:pt idx="1">
                  <c:v>10126321</c:v>
                </c:pt>
                <c:pt idx="2">
                  <c:v>412551</c:v>
                </c:pt>
              </c:numCache>
            </c:numRef>
          </c:val>
          <c:extLst>
            <c:ext xmlns:c16="http://schemas.microsoft.com/office/drawing/2014/chart" uri="{C3380CC4-5D6E-409C-BE32-E72D297353CC}">
              <c16:uniqueId val="{00000000-FC15-42D3-9224-020B109FE082}"/>
            </c:ext>
          </c:extLst>
        </c:ser>
        <c:dLbls>
          <c:showLegendKey val="0"/>
          <c:showVal val="0"/>
          <c:showCatName val="0"/>
          <c:showSerName val="0"/>
          <c:showPercent val="0"/>
          <c:showBubbleSize val="0"/>
        </c:dLbls>
        <c:gapWidth val="219"/>
        <c:overlap val="-27"/>
        <c:axId val="501470991"/>
        <c:axId val="530051823"/>
      </c:barChart>
      <c:catAx>
        <c:axId val="50147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051823"/>
        <c:crosses val="autoZero"/>
        <c:auto val="1"/>
        <c:lblAlgn val="ctr"/>
        <c:lblOffset val="100"/>
        <c:noMultiLvlLbl val="0"/>
      </c:catAx>
      <c:valAx>
        <c:axId val="530051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7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200" b="0" i="0"/>
            <a:t>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3.421.083</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49</a:t>
          </a:r>
          <a:r>
            <a:rPr lang="tr-TR" sz="1400" b="0" i="0"/>
            <a:t>.</a:t>
          </a:r>
          <a:r>
            <a:rPr lang="en-US" sz="1400" b="0" i="0"/>
            <a:t>693</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49.672</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tr-TR" sz="1400">
              <a:solidFill>
                <a:schemeClr val="bg2">
                  <a:lumMod val="50000"/>
                </a:schemeClr>
              </a:solidFill>
            </a:rPr>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32.434.489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tr-TR" sz="1400">
              <a:solidFill>
                <a:schemeClr val="bg2">
                  <a:lumMod val="50000"/>
                </a:schemeClr>
              </a:solidFill>
            </a:rPr>
            <a:t>206.209</a:t>
          </a:r>
          <a:r>
            <a:rPr lang="en-US" sz="14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tr-TR" sz="1200">
              <a:solidFill>
                <a:schemeClr val="bg2">
                  <a:lumMod val="50000"/>
                </a:schemeClr>
              </a:solidFill>
            </a:rPr>
            <a:t>206.209</a:t>
          </a:r>
          <a:r>
            <a:rPr lang="en-US" sz="12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5010" y="729413"/>
          <a:ext cx="583759" cy="66458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349" y="26812"/>
          <a:ext cx="982707" cy="68786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3934" y="60397"/>
        <a:ext cx="915537" cy="620693"/>
      </dsp:txXfrm>
    </dsp:sp>
    <dsp:sp modelId="{02D75559-D361-43C2-960D-0DE64B2217E1}">
      <dsp:nvSpPr>
        <dsp:cNvPr id="0" name=""/>
        <dsp:cNvSpPr/>
      </dsp:nvSpPr>
      <dsp:spPr>
        <a:xfrm>
          <a:off x="1043440" y="92415"/>
          <a:ext cx="1573779" cy="5559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b="0" i="0" kern="1200"/>
            <a:t>3421083</a:t>
          </a:r>
          <a:endParaRPr lang="en-US" sz="1200" kern="1200">
            <a:solidFill>
              <a:schemeClr val="bg2">
                <a:lumMod val="50000"/>
              </a:schemeClr>
            </a:solidFill>
          </a:endParaRPr>
        </a:p>
      </dsp:txBody>
      <dsp:txXfrm>
        <a:off x="1043440" y="92415"/>
        <a:ext cx="1573779" cy="555961"/>
      </dsp:txXfrm>
    </dsp:sp>
    <dsp:sp modelId="{9621899D-0F5A-435B-840E-4641491BFF2E}">
      <dsp:nvSpPr>
        <dsp:cNvPr id="0" name=""/>
        <dsp:cNvSpPr/>
      </dsp:nvSpPr>
      <dsp:spPr>
        <a:xfrm>
          <a:off x="826557" y="799509"/>
          <a:ext cx="1064605" cy="749825"/>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63167" y="836119"/>
        <a:ext cx="991385" cy="676605"/>
      </dsp:txXfrm>
    </dsp:sp>
    <dsp:sp modelId="{FEDA8202-94DB-48E0-9F89-FDAC252494CB}">
      <dsp:nvSpPr>
        <dsp:cNvPr id="0" name=""/>
        <dsp:cNvSpPr/>
      </dsp:nvSpPr>
      <dsp:spPr>
        <a:xfrm>
          <a:off x="1867139" y="896093"/>
          <a:ext cx="1071040" cy="5559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3.421.083</a:t>
          </a:r>
          <a:r>
            <a:rPr lang="en-US" sz="1200" kern="1200">
              <a:solidFill>
                <a:schemeClr val="bg2">
                  <a:lumMod val="50000"/>
                </a:schemeClr>
              </a:solidFill>
            </a:rPr>
            <a:t> </a:t>
          </a:r>
        </a:p>
      </dsp:txBody>
      <dsp:txXfrm>
        <a:off x="1867139" y="896093"/>
        <a:ext cx="1071040" cy="55596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9177" y="971498"/>
          <a:ext cx="635546" cy="723547"/>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795" y="199493"/>
          <a:ext cx="1069886" cy="748886"/>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359" y="236057"/>
        <a:ext cx="996758" cy="675758"/>
      </dsp:txXfrm>
    </dsp:sp>
    <dsp:sp modelId="{02D75559-D361-43C2-960D-0DE64B2217E1}">
      <dsp:nvSpPr>
        <dsp:cNvPr id="0" name=""/>
        <dsp:cNvSpPr/>
      </dsp:nvSpPr>
      <dsp:spPr>
        <a:xfrm>
          <a:off x="1086552" y="249846"/>
          <a:ext cx="1504980" cy="6052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49</a:t>
          </a:r>
          <a:r>
            <a:rPr lang="tr-TR" sz="1400" b="0" i="0" kern="1200"/>
            <a:t>.</a:t>
          </a:r>
          <a:r>
            <a:rPr lang="en-US" sz="1400" b="0" i="0" kern="1200"/>
            <a:t>693</a:t>
          </a:r>
          <a:r>
            <a:rPr lang="en-US" sz="1400" kern="1200">
              <a:solidFill>
                <a:schemeClr val="bg2">
                  <a:lumMod val="50000"/>
                </a:schemeClr>
              </a:solidFill>
            </a:rPr>
            <a:t> </a:t>
          </a:r>
          <a:endParaRPr lang="en-US" sz="1900" kern="1200">
            <a:solidFill>
              <a:schemeClr val="bg2">
                <a:lumMod val="50000"/>
              </a:schemeClr>
            </a:solidFill>
          </a:endParaRPr>
        </a:p>
      </dsp:txBody>
      <dsp:txXfrm>
        <a:off x="1086552" y="249846"/>
        <a:ext cx="1504980" cy="605282"/>
      </dsp:txXfrm>
    </dsp:sp>
    <dsp:sp modelId="{9621899D-0F5A-435B-840E-4641491BFF2E}">
      <dsp:nvSpPr>
        <dsp:cNvPr id="0" name=""/>
        <dsp:cNvSpPr/>
      </dsp:nvSpPr>
      <dsp:spPr>
        <a:xfrm>
          <a:off x="914751" y="1040739"/>
          <a:ext cx="1069886" cy="748886"/>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51315" y="1077303"/>
        <a:ext cx="996758" cy="675758"/>
      </dsp:txXfrm>
    </dsp:sp>
    <dsp:sp modelId="{FEDA8202-94DB-48E0-9F89-FDAC252494CB}">
      <dsp:nvSpPr>
        <dsp:cNvPr id="0" name=""/>
        <dsp:cNvSpPr/>
      </dsp:nvSpPr>
      <dsp:spPr>
        <a:xfrm>
          <a:off x="2005744" y="1112162"/>
          <a:ext cx="778133" cy="60528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49.672</a:t>
          </a:r>
          <a:r>
            <a:rPr lang="en-US" sz="1200" kern="1200">
              <a:solidFill>
                <a:schemeClr val="bg2">
                  <a:lumMod val="50000"/>
                </a:schemeClr>
              </a:solidFill>
            </a:rPr>
            <a:t> </a:t>
          </a:r>
        </a:p>
      </dsp:txBody>
      <dsp:txXfrm>
        <a:off x="2005744" y="1112162"/>
        <a:ext cx="778133" cy="60528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0839" y="1217884"/>
          <a:ext cx="828562" cy="57273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59887" y="473482"/>
          <a:ext cx="2054309" cy="55026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6753" y="500348"/>
        <a:ext cx="2000577" cy="496529"/>
      </dsp:txXfrm>
    </dsp:sp>
    <dsp:sp modelId="{02D75559-D361-43C2-960D-0DE64B2217E1}">
      <dsp:nvSpPr>
        <dsp:cNvPr id="0" name=""/>
        <dsp:cNvSpPr/>
      </dsp:nvSpPr>
      <dsp:spPr>
        <a:xfrm>
          <a:off x="2113279" y="307263"/>
          <a:ext cx="1050724" cy="81732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400" kern="1200">
              <a:solidFill>
                <a:schemeClr val="bg2">
                  <a:lumMod val="50000"/>
                </a:schemeClr>
              </a:solidFill>
            </a:rPr>
            <a:t>32.434.489</a:t>
          </a:r>
          <a:endParaRPr lang="en-US" sz="1900" kern="1200">
            <a:solidFill>
              <a:schemeClr val="bg2">
                <a:lumMod val="50000"/>
              </a:schemeClr>
            </a:solidFill>
          </a:endParaRPr>
        </a:p>
      </dsp:txBody>
      <dsp:txXfrm>
        <a:off x="2113279" y="307263"/>
        <a:ext cx="1050724" cy="817321"/>
      </dsp:txXfrm>
    </dsp:sp>
    <dsp:sp modelId="{9621899D-0F5A-435B-840E-4641491BFF2E}">
      <dsp:nvSpPr>
        <dsp:cNvPr id="0" name=""/>
        <dsp:cNvSpPr/>
      </dsp:nvSpPr>
      <dsp:spPr>
        <a:xfrm>
          <a:off x="851575" y="1399714"/>
          <a:ext cx="2095613" cy="666077"/>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84096" y="1432235"/>
        <a:ext cx="2030571" cy="601035"/>
      </dsp:txXfrm>
    </dsp:sp>
    <dsp:sp modelId="{FEDA8202-94DB-48E0-9F89-FDAC252494CB}">
      <dsp:nvSpPr>
        <dsp:cNvPr id="0" name=""/>
        <dsp:cNvSpPr/>
      </dsp:nvSpPr>
      <dsp:spPr>
        <a:xfrm>
          <a:off x="3008326" y="1320225"/>
          <a:ext cx="1141265" cy="81732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32.434.489</a:t>
          </a:r>
          <a:r>
            <a:rPr lang="en-US" sz="1200" kern="1200">
              <a:solidFill>
                <a:schemeClr val="bg2">
                  <a:lumMod val="50000"/>
                </a:schemeClr>
              </a:solidFill>
            </a:rPr>
            <a:t> </a:t>
          </a:r>
        </a:p>
      </dsp:txBody>
      <dsp:txXfrm>
        <a:off x="3008326" y="1320225"/>
        <a:ext cx="1141265" cy="817321"/>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5479" y="1018679"/>
          <a:ext cx="661528" cy="75312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214" y="222476"/>
          <a:ext cx="1113625" cy="7795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273" y="260535"/>
        <a:ext cx="1037507" cy="703383"/>
      </dsp:txXfrm>
    </dsp:sp>
    <dsp:sp modelId="{02D75559-D361-43C2-960D-0DE64B2217E1}">
      <dsp:nvSpPr>
        <dsp:cNvPr id="0" name=""/>
        <dsp:cNvSpPr/>
      </dsp:nvSpPr>
      <dsp:spPr>
        <a:xfrm>
          <a:off x="1113840" y="296819"/>
          <a:ext cx="809944" cy="63002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400" kern="1200">
              <a:solidFill>
                <a:schemeClr val="bg2">
                  <a:lumMod val="50000"/>
                </a:schemeClr>
              </a:solidFill>
            </a:rPr>
            <a:t>206.209</a:t>
          </a:r>
          <a:r>
            <a:rPr lang="en-US" sz="1400" kern="1200">
              <a:solidFill>
                <a:schemeClr val="bg2">
                  <a:lumMod val="50000"/>
                </a:schemeClr>
              </a:solidFill>
            </a:rPr>
            <a:t> </a:t>
          </a:r>
        </a:p>
      </dsp:txBody>
      <dsp:txXfrm>
        <a:off x="1113840" y="296819"/>
        <a:ext cx="809944" cy="630027"/>
      </dsp:txXfrm>
    </dsp:sp>
    <dsp:sp modelId="{9621899D-0F5A-435B-840E-4641491BFF2E}">
      <dsp:nvSpPr>
        <dsp:cNvPr id="0" name=""/>
        <dsp:cNvSpPr/>
      </dsp:nvSpPr>
      <dsp:spPr>
        <a:xfrm>
          <a:off x="944308" y="1170903"/>
          <a:ext cx="1113625" cy="7795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82367" y="1208962"/>
        <a:ext cx="1037507" cy="703383"/>
      </dsp:txXfrm>
    </dsp:sp>
    <dsp:sp modelId="{FEDA8202-94DB-48E0-9F89-FDAC252494CB}">
      <dsp:nvSpPr>
        <dsp:cNvPr id="0" name=""/>
        <dsp:cNvSpPr/>
      </dsp:nvSpPr>
      <dsp:spPr>
        <a:xfrm>
          <a:off x="2037369" y="1172457"/>
          <a:ext cx="809944" cy="63002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tr-TR" sz="1200" kern="1200">
              <a:solidFill>
                <a:schemeClr val="bg2">
                  <a:lumMod val="50000"/>
                </a:schemeClr>
              </a:solidFill>
            </a:rPr>
            <a:t>206.209</a:t>
          </a:r>
          <a:r>
            <a:rPr lang="en-US" sz="1200" kern="1200">
              <a:solidFill>
                <a:schemeClr val="bg2">
                  <a:lumMod val="50000"/>
                </a:schemeClr>
              </a:solidFill>
            </a:rPr>
            <a:t> </a:t>
          </a:r>
        </a:p>
      </dsp:txBody>
      <dsp:txXfrm>
        <a:off x="2037369" y="1172457"/>
        <a:ext cx="809944" cy="630027"/>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hyperlink" Target="https://www.kaggle.com/datasets/psparks/instacart-market-basket-analysis" TargetMode="External"/><Relationship Id="rId1"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5.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11-12-2025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Ghassan Faraj Belaish</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14</xdr:col>
      <xdr:colOff>349250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501900" y="120650"/>
          <a:ext cx="6515100" cy="547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 Analysis</a:t>
          </a:r>
        </a:p>
      </xdr:txBody>
    </xdr:sp>
    <xdr:clientData/>
  </xdr:twoCellAnchor>
  <xdr:twoCellAnchor>
    <xdr:from>
      <xdr:col>0</xdr:col>
      <xdr:colOff>611187</xdr:colOff>
      <xdr:row>19</xdr:row>
      <xdr:rowOff>158750</xdr:rowOff>
    </xdr:from>
    <xdr:to>
      <xdr:col>12</xdr:col>
      <xdr:colOff>55562</xdr:colOff>
      <xdr:row>24</xdr:row>
      <xdr:rowOff>159420</xdr:rowOff>
    </xdr:to>
    <xdr:sp macro="" textlink="">
      <xdr:nvSpPr>
        <xdr:cNvPr id="5" name="TextBox 4">
          <a:hlinkClick xmlns:r="http://schemas.openxmlformats.org/officeDocument/2006/relationships" r:id="rId2"/>
          <a:extLst>
            <a:ext uri="{FF2B5EF4-FFF2-40B4-BE49-F238E27FC236}">
              <a16:creationId xmlns:a16="http://schemas.microsoft.com/office/drawing/2014/main" id="{861AA5D4-4C1D-494C-B2FB-FB72CD0F35CF}"/>
            </a:ext>
          </a:extLst>
        </xdr:cNvPr>
        <xdr:cNvSpPr txBox="1"/>
      </xdr:nvSpPr>
      <xdr:spPr>
        <a:xfrm>
          <a:off x="611187" y="3643313"/>
          <a:ext cx="6873875" cy="913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Citation</a:t>
          </a:r>
          <a:r>
            <a:rPr lang="en-US"/>
            <a:t>:</a:t>
          </a:r>
        </a:p>
        <a:p>
          <a:r>
            <a:rPr lang="en-US" u="none"/>
            <a:t>“The Instacart Online Grocery Shopping Dataset 2017”, Accessed from</a:t>
          </a:r>
          <a:r>
            <a:rPr lang="en-US" u="none">
              <a:solidFill>
                <a:schemeClr val="tx1"/>
              </a:solidFill>
            </a:rPr>
            <a:t> </a:t>
          </a:r>
          <a:r>
            <a:rPr lang="en-US" u="none">
              <a:solidFill>
                <a:schemeClr val="tx1"/>
              </a:solidFill>
              <a:hlinkClick xmlns:r="http://schemas.openxmlformats.org/officeDocument/2006/relationships" r:id="">
                <a:extLst>
                  <a:ext uri="{A12FA001-AC4F-418D-AE19-62706E023703}">
                    <ahyp:hlinkClr xmlns:ahyp="http://schemas.microsoft.com/office/drawing/2018/hyperlinkcolor" val="tx"/>
                  </a:ext>
                </a:extLst>
              </a:hlinkClick>
            </a:rPr>
            <a:t>www.instacart.com/datasets/grocery-shopping-2017</a:t>
          </a:r>
          <a:r>
            <a:rPr lang="en-US" u="none"/>
            <a:t> </a:t>
          </a:r>
          <a:r>
            <a:rPr lang="en-US"/>
            <a:t>via </a:t>
          </a:r>
          <a:r>
            <a:rPr lang="en-US">
              <a:hlinkClick xmlns:r="http://schemas.openxmlformats.org/officeDocument/2006/relationships" r:id=""/>
            </a:rPr>
            <a:t>Kaggle</a:t>
          </a:r>
          <a:r>
            <a:rPr lang="en-US"/>
            <a:t> on </a:t>
          </a:r>
          <a:r>
            <a:rPr lang="tr-TR" b="1"/>
            <a:t>Aug</a:t>
          </a:r>
          <a:r>
            <a:rPr lang="tr-TR" b="1" baseline="0"/>
            <a:t> 17</a:t>
          </a:r>
          <a:r>
            <a:rPr lang="en-US" b="1"/>
            <a:t>, 2025</a:t>
          </a:r>
          <a:r>
            <a:rPr lang="en-US"/>
            <a: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83901" y="3376219"/>
          <a:ext cx="2443788" cy="448625"/>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919847" y="3385292"/>
          <a:ext cx="2353076" cy="439553"/>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723254" y="3276435"/>
          <a:ext cx="2637313" cy="581672"/>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609597" y="3803685"/>
          <a:ext cx="1323198" cy="528749"/>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100">
                <a:solidFill>
                  <a:schemeClr val="tx1">
                    <a:hueOff val="0"/>
                    <a:satOff val="0"/>
                    <a:lumOff val="0"/>
                    <a:alphaOff val="0"/>
                  </a:schemeClr>
                </a:solidFill>
                <a:effectLst/>
                <a:latin typeface="+mn-lt"/>
                <a:ea typeface="+mn-ea"/>
                <a:cs typeface="+mn-cs"/>
              </a:rPr>
              <a:t>32.434.489</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6987885" y="3717639"/>
          <a:ext cx="1356592" cy="519543"/>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tr-TR" sz="1100">
                <a:solidFill>
                  <a:schemeClr val="tx1">
                    <a:hueOff val="0"/>
                    <a:satOff val="0"/>
                    <a:lumOff val="0"/>
                    <a:alphaOff val="0"/>
                  </a:schemeClr>
                </a:solidFill>
                <a:effectLst/>
                <a:latin typeface="+mn-lt"/>
                <a:ea typeface="+mn-ea"/>
                <a:cs typeface="+mn-cs"/>
              </a:rPr>
              <a:t>32.404.859</a:t>
            </a:r>
            <a:r>
              <a:rPr lang="en-US" sz="1400" kern="1200">
                <a:solidFill>
                  <a:schemeClr val="bg2">
                    <a:lumMod val="50000"/>
                  </a:schemeClr>
                </a:solidFill>
              </a:rPr>
              <a:t>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820011" y="3785546"/>
          <a:ext cx="1401814" cy="456577"/>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 </a:t>
            </a:r>
            <a:r>
              <a:rPr lang="tr-TR" sz="1100">
                <a:solidFill>
                  <a:schemeClr val="tx1">
                    <a:hueOff val="0"/>
                    <a:satOff val="0"/>
                    <a:lumOff val="0"/>
                    <a:alphaOff val="0"/>
                  </a:schemeClr>
                </a:solidFill>
                <a:effectLst/>
                <a:latin typeface="+mn-lt"/>
                <a:ea typeface="+mn-ea"/>
                <a:cs typeface="+mn-cs"/>
              </a:rPr>
              <a:t>30.964.564</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1.440.295</a:t>
          </a:r>
        </a:p>
        <a:p>
          <a:r>
            <a:rPr lang="en-US" sz="1400" b="0" baseline="0">
              <a:solidFill>
                <a:schemeClr val="bg2">
                  <a:lumMod val="50000"/>
                </a:schemeClr>
              </a:solidFill>
            </a:rPr>
            <a:t>Final total count of order_products_all: 30.964.564</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xdr:from>
      <xdr:col>5</xdr:col>
      <xdr:colOff>0</xdr:colOff>
      <xdr:row>16</xdr:row>
      <xdr:rowOff>1</xdr:rowOff>
    </xdr:from>
    <xdr:to>
      <xdr:col>5</xdr:col>
      <xdr:colOff>6165272</xdr:colOff>
      <xdr:row>17</xdr:row>
      <xdr:rowOff>1</xdr:rowOff>
    </xdr:to>
    <xdr:graphicFrame macro="">
      <xdr:nvGraphicFramePr>
        <xdr:cNvPr id="3" name="Chart 2">
          <a:extLst>
            <a:ext uri="{FF2B5EF4-FFF2-40B4-BE49-F238E27FC236}">
              <a16:creationId xmlns:a16="http://schemas.microsoft.com/office/drawing/2014/main" id="{50885B69-4759-4E31-8EA7-D4F8C7299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472908</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hass\Downloads\Compressed\Instacart-basket-analysis-July-2025\A4_final_report_kaan_arslan_instacart.xlsx" TargetMode="External"/><Relationship Id="rId1" Type="http://schemas.openxmlformats.org/officeDocument/2006/relationships/externalLinkPath" Target="file:///C:\Users\ghass\Downloads\Compressed\Instacart-basket-analysis-July-2025\A4_final_report_kaan_arslan_instaca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Title Page"/>
      <sheetName val="2. Population Flow"/>
      <sheetName val="3. Consistency checks"/>
      <sheetName val="4. Wrangling steps"/>
      <sheetName val="5. Column derivations"/>
      <sheetName val="6. Visualizations"/>
      <sheetName val="7. Recommendations"/>
    </sheetNames>
    <sheetDataSet>
      <sheetData sheetId="0"/>
      <sheetData sheetId="1"/>
      <sheetData sheetId="2"/>
      <sheetData sheetId="3"/>
      <sheetData sheetId="4"/>
      <sheetData sheetId="5">
        <row r="87">
          <cell r="L87" t="str">
            <v>Mid-range product</v>
          </cell>
          <cell r="M87">
            <v>21865987</v>
          </cell>
        </row>
        <row r="88">
          <cell r="L88" t="str">
            <v>Low-range product</v>
          </cell>
          <cell r="M88">
            <v>10126321</v>
          </cell>
        </row>
        <row r="89">
          <cell r="L89" t="str">
            <v>High-range product</v>
          </cell>
          <cell r="M89">
            <v>412551</v>
          </cell>
        </row>
      </sheetData>
      <sheetData sheetId="6"/>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
  <rv s="0">
    <v>0</v>
    <v>5</v>
  </rv>
  <rv s="0">
    <v>1</v>
    <v>5</v>
  </rv>
  <rv s="0">
    <v>2</v>
    <v>5</v>
  </rv>
  <rv s="0">
    <v>3</v>
    <v>5</v>
  </rv>
  <rv s="0">
    <v>4</v>
    <v>5</v>
  </rv>
  <rv s="0">
    <v>5</v>
    <v>5</v>
  </rv>
  <rv s="0">
    <v>6</v>
    <v>5</v>
  </rv>
  <rv s="0">
    <v>7</v>
    <v>5</v>
  </rv>
  <rv s="0">
    <v>8</v>
    <v>5</v>
  </rv>
  <rv s="0">
    <v>9</v>
    <v>5</v>
  </rv>
  <rv s="0">
    <v>10</v>
    <v>5</v>
  </rv>
  <rv s="0">
    <v>11</v>
    <v>5</v>
  </rv>
  <rv s="0">
    <v>12</v>
    <v>5</v>
  </rv>
  <rv s="0">
    <v>13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8"/>
  <sheetViews>
    <sheetView showGridLines="0" tabSelected="1" zoomScale="55" zoomScaleNormal="55" workbookViewId="0">
      <selection activeCell="B29" sqref="B29"/>
    </sheetView>
  </sheetViews>
  <sheetFormatPr defaultColWidth="8.81640625" defaultRowHeight="14.5"/>
  <sheetData>
    <row r="13" spans="2:2" ht="15.5">
      <c r="B13" s="19" t="s">
        <v>0</v>
      </c>
    </row>
    <row r="14" spans="2:2">
      <c r="B14" s="18" t="s">
        <v>15</v>
      </c>
    </row>
    <row r="15" spans="2:2">
      <c r="B15" s="18" t="s">
        <v>16</v>
      </c>
    </row>
    <row r="16" spans="2:2">
      <c r="B16" s="18" t="s">
        <v>17</v>
      </c>
    </row>
    <row r="17" spans="2:2">
      <c r="B17" s="18" t="s">
        <v>18</v>
      </c>
    </row>
    <row r="18" spans="2:2">
      <c r="B18" s="18" t="s">
        <v>20</v>
      </c>
    </row>
    <row r="19" spans="2:2">
      <c r="B19" s="18" t="s">
        <v>22</v>
      </c>
    </row>
    <row r="27" spans="2:2">
      <c r="B27" s="38" t="s">
        <v>54</v>
      </c>
    </row>
    <row r="28" spans="2:2">
      <c r="B28" s="38" t="s">
        <v>55</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55" zoomScaleNormal="55" workbookViewId="0">
      <selection activeCell="AC28" sqref="AC28"/>
    </sheetView>
  </sheetViews>
  <sheetFormatPr defaultColWidth="8.6328125" defaultRowHeight="13"/>
  <cols>
    <col min="1" max="1" width="5.453125" style="1" customWidth="1"/>
    <col min="2" max="24" width="8.6328125" style="1"/>
    <col min="25" max="25" width="12.81640625" style="1" bestFit="1" customWidth="1"/>
    <col min="26" max="16384" width="8.6328125" style="1"/>
  </cols>
  <sheetData>
    <row r="1" spans="25:25" ht="16.5">
      <c r="Y1" s="20" t="s">
        <v>19</v>
      </c>
    </row>
    <row r="2" spans="25:25" ht="16.5">
      <c r="Y2" s="20"/>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D7" sqref="D7"/>
    </sheetView>
  </sheetViews>
  <sheetFormatPr defaultColWidth="8.81640625" defaultRowHeight="14.5"/>
  <cols>
    <col min="1" max="1" width="4.6328125" customWidth="1"/>
    <col min="2" max="3" width="22.36328125" customWidth="1"/>
    <col min="4" max="4" width="21.81640625" bestFit="1" customWidth="1"/>
    <col min="5" max="5" width="35.36328125" customWidth="1"/>
  </cols>
  <sheetData>
    <row r="1" spans="2:9">
      <c r="I1" s="21" t="s">
        <v>19</v>
      </c>
    </row>
    <row r="5" spans="2:9" ht="15" thickBot="1"/>
    <row r="6" spans="2:9" ht="24.5" customHeight="1" thickTop="1" thickBot="1">
      <c r="B6" s="6" t="s">
        <v>6</v>
      </c>
      <c r="C6" s="7" t="s">
        <v>7</v>
      </c>
      <c r="D6" s="7" t="s">
        <v>8</v>
      </c>
      <c r="E6" s="8" t="s">
        <v>9</v>
      </c>
    </row>
    <row r="7" spans="2:9" ht="15" thickTop="1">
      <c r="B7" s="9" t="s">
        <v>10</v>
      </c>
      <c r="C7" s="40">
        <v>206209</v>
      </c>
      <c r="D7" s="39" t="s">
        <v>59</v>
      </c>
      <c r="E7" s="41">
        <v>0</v>
      </c>
    </row>
    <row r="8" spans="2:9">
      <c r="B8" s="10" t="s">
        <v>11</v>
      </c>
      <c r="C8" s="42">
        <v>16</v>
      </c>
      <c r="D8" s="42" t="s">
        <v>56</v>
      </c>
      <c r="E8" s="43" t="s">
        <v>57</v>
      </c>
    </row>
    <row r="9" spans="2:9">
      <c r="B9" s="10" t="s">
        <v>12</v>
      </c>
      <c r="C9" s="42">
        <v>0</v>
      </c>
      <c r="D9" s="42"/>
      <c r="E9" s="43">
        <v>0</v>
      </c>
    </row>
    <row r="10" spans="2:9">
      <c r="B10" s="10" t="s">
        <v>13</v>
      </c>
      <c r="C10" s="39">
        <v>11259</v>
      </c>
      <c r="D10" s="42" t="s">
        <v>58</v>
      </c>
      <c r="E10" s="43">
        <v>0</v>
      </c>
    </row>
    <row r="11" spans="2:9">
      <c r="B11" s="10"/>
      <c r="C11" s="11"/>
      <c r="D11" s="11"/>
      <c r="E11" s="12"/>
    </row>
    <row r="12" spans="2:9">
      <c r="B12" s="10"/>
      <c r="C12" s="11"/>
      <c r="D12" s="11"/>
      <c r="E12" s="12"/>
    </row>
    <row r="13" spans="2:9">
      <c r="B13" s="10"/>
      <c r="C13" s="11"/>
      <c r="D13" s="11"/>
      <c r="E13" s="12"/>
    </row>
    <row r="14" spans="2:9">
      <c r="B14" s="10"/>
      <c r="C14" s="11"/>
      <c r="D14" s="11"/>
      <c r="E14" s="12"/>
    </row>
    <row r="15" spans="2:9">
      <c r="B15" s="10"/>
      <c r="C15" s="11"/>
      <c r="D15" s="11"/>
      <c r="E15" s="12"/>
    </row>
    <row r="16" spans="2:9">
      <c r="B16" s="10"/>
      <c r="C16" s="11"/>
      <c r="D16" s="11"/>
      <c r="E16" s="12"/>
    </row>
    <row r="17" spans="2:5">
      <c r="B17" s="10"/>
      <c r="C17" s="11"/>
      <c r="D17" s="11"/>
      <c r="E17" s="12"/>
    </row>
    <row r="18" spans="2:5">
      <c r="B18" s="10"/>
      <c r="C18" s="11"/>
      <c r="D18" s="11"/>
      <c r="E18" s="12"/>
    </row>
    <row r="19" spans="2:5">
      <c r="B19" s="10"/>
      <c r="C19" s="11"/>
      <c r="D19" s="11"/>
      <c r="E19" s="12"/>
    </row>
    <row r="20" spans="2:5" ht="15" thickBot="1">
      <c r="B20" s="13"/>
      <c r="C20" s="14"/>
      <c r="D20" s="14"/>
      <c r="E20" s="15"/>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85" zoomScaleNormal="85" workbookViewId="0">
      <selection activeCell="C15" sqref="C15"/>
    </sheetView>
  </sheetViews>
  <sheetFormatPr defaultColWidth="8.81640625" defaultRowHeight="14.5"/>
  <cols>
    <col min="1" max="1" width="4.453125" customWidth="1"/>
    <col min="2" max="2" width="26.81640625" customWidth="1"/>
    <col min="3" max="3" width="29.7265625" customWidth="1"/>
    <col min="4" max="4" width="22.90625" customWidth="1"/>
    <col min="5" max="5" width="45" bestFit="1" customWidth="1"/>
  </cols>
  <sheetData>
    <row r="1" spans="2:8">
      <c r="H1" s="21" t="s">
        <v>19</v>
      </c>
    </row>
    <row r="5" spans="2:8" ht="15" thickBot="1"/>
    <row r="6" spans="2:8" ht="23" customHeight="1" thickTop="1" thickBot="1">
      <c r="B6" s="6" t="s">
        <v>1</v>
      </c>
      <c r="C6" s="7" t="s">
        <v>2</v>
      </c>
      <c r="D6" s="7" t="s">
        <v>3</v>
      </c>
      <c r="E6" s="8" t="s">
        <v>4</v>
      </c>
    </row>
    <row r="7" spans="2:8" ht="15" thickTop="1">
      <c r="B7" s="31" t="s">
        <v>23</v>
      </c>
      <c r="C7" s="30"/>
      <c r="D7" s="30"/>
      <c r="E7" s="29" t="s">
        <v>67</v>
      </c>
    </row>
    <row r="8" spans="2:8">
      <c r="B8" s="32"/>
      <c r="C8" s="33"/>
      <c r="D8" s="27"/>
      <c r="E8" s="3" t="s">
        <v>24</v>
      </c>
    </row>
    <row r="9" spans="2:8" ht="14.5" customHeight="1">
      <c r="B9" s="2"/>
      <c r="C9" s="33"/>
      <c r="D9" s="27" t="s">
        <v>26</v>
      </c>
      <c r="E9" s="3" t="s">
        <v>69</v>
      </c>
    </row>
    <row r="10" spans="2:8">
      <c r="B10" s="2"/>
      <c r="C10" s="33" t="s">
        <v>25</v>
      </c>
      <c r="D10" s="27"/>
      <c r="E10" s="3" t="s">
        <v>68</v>
      </c>
    </row>
    <row r="11" spans="2:8">
      <c r="B11" s="2"/>
      <c r="C11" s="33" t="s">
        <v>60</v>
      </c>
      <c r="D11" s="27"/>
      <c r="E11" s="3" t="s">
        <v>70</v>
      </c>
    </row>
    <row r="12" spans="2:8">
      <c r="B12" s="2"/>
      <c r="C12" s="33" t="s">
        <v>61</v>
      </c>
      <c r="D12" s="27"/>
      <c r="E12" s="3" t="s">
        <v>71</v>
      </c>
    </row>
    <row r="13" spans="2:8">
      <c r="B13" s="2"/>
      <c r="C13" s="33" t="s">
        <v>62</v>
      </c>
      <c r="D13" s="27"/>
      <c r="E13" s="3" t="s">
        <v>72</v>
      </c>
    </row>
    <row r="14" spans="2:8">
      <c r="B14" s="2"/>
      <c r="C14" s="33" t="s">
        <v>63</v>
      </c>
      <c r="D14" s="27"/>
      <c r="E14" s="3" t="s">
        <v>73</v>
      </c>
    </row>
    <row r="15" spans="2:8">
      <c r="B15" s="2"/>
      <c r="C15" s="33" t="s">
        <v>64</v>
      </c>
      <c r="D15" s="27"/>
      <c r="E15" s="3" t="s">
        <v>74</v>
      </c>
    </row>
    <row r="16" spans="2:8">
      <c r="B16" s="2"/>
      <c r="C16" s="33" t="s">
        <v>65</v>
      </c>
      <c r="D16" s="27"/>
      <c r="E16" s="3" t="s">
        <v>75</v>
      </c>
    </row>
    <row r="17" spans="2:5">
      <c r="B17" s="2"/>
      <c r="C17" s="33" t="s">
        <v>66</v>
      </c>
      <c r="D17" s="27"/>
      <c r="E17" s="3" t="s">
        <v>76</v>
      </c>
    </row>
    <row r="18" spans="2:5">
      <c r="B18" s="2"/>
      <c r="C18" s="33"/>
      <c r="D18" s="27"/>
      <c r="E18" s="3"/>
    </row>
    <row r="19" spans="2:5">
      <c r="B19" s="2"/>
      <c r="C19" s="33"/>
      <c r="D19" s="27"/>
      <c r="E19" s="3"/>
    </row>
    <row r="20" spans="2:5" ht="15" thickBot="1">
      <c r="B20" s="4"/>
      <c r="C20" s="34"/>
      <c r="D20" s="28"/>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47"/>
  <sheetViews>
    <sheetView showGridLines="0" zoomScale="85" zoomScaleNormal="85" workbookViewId="0">
      <selection activeCell="N35" sqref="N35"/>
    </sheetView>
  </sheetViews>
  <sheetFormatPr defaultColWidth="8.81640625" defaultRowHeight="14.5"/>
  <cols>
    <col min="1" max="1" width="4.36328125" customWidth="1"/>
    <col min="2" max="2" width="19.36328125" customWidth="1"/>
    <col min="3" max="3" width="21.54296875" bestFit="1" customWidth="1"/>
    <col min="4" max="4" width="28" customWidth="1"/>
    <col min="5" max="5" width="50.08984375" customWidth="1"/>
    <col min="7" max="7" width="5.453125" customWidth="1"/>
    <col min="8" max="8" width="6.54296875" customWidth="1"/>
    <col min="10" max="10" width="4" customWidth="1"/>
    <col min="11" max="11" width="24.6328125" customWidth="1"/>
    <col min="12" max="12" width="14.54296875" customWidth="1"/>
    <col min="15" max="15" width="19.26953125" customWidth="1"/>
    <col min="16" max="16" width="17" customWidth="1"/>
  </cols>
  <sheetData>
    <row r="1" spans="2:16">
      <c r="K1" s="21" t="s">
        <v>19</v>
      </c>
    </row>
    <row r="5" spans="2:16" ht="15" thickBot="1"/>
    <row r="6" spans="2:16" ht="21.5" customHeight="1" thickTop="1" thickBot="1">
      <c r="B6" s="6" t="s">
        <v>6</v>
      </c>
      <c r="C6" s="7" t="s">
        <v>5</v>
      </c>
      <c r="D6" s="7" t="s">
        <v>14</v>
      </c>
      <c r="E6" s="8" t="s">
        <v>21</v>
      </c>
    </row>
    <row r="7" spans="2:16" ht="44" customHeight="1" thickTop="1">
      <c r="B7" s="16" t="s">
        <v>28</v>
      </c>
      <c r="C7" s="35" t="s">
        <v>27</v>
      </c>
      <c r="D7" s="17" t="s">
        <v>29</v>
      </c>
      <c r="E7" s="22" t="s">
        <v>30</v>
      </c>
    </row>
    <row r="8" spans="2:16" ht="44" customHeight="1">
      <c r="B8" s="16" t="s">
        <v>31</v>
      </c>
      <c r="C8" s="11" t="s">
        <v>32</v>
      </c>
      <c r="D8" s="11" t="s">
        <v>33</v>
      </c>
      <c r="E8" s="36" t="s">
        <v>34</v>
      </c>
    </row>
    <row r="9" spans="2:16" ht="44" customHeight="1">
      <c r="B9" s="16" t="s">
        <v>31</v>
      </c>
      <c r="C9" s="11" t="s">
        <v>35</v>
      </c>
      <c r="D9" s="11" t="s">
        <v>36</v>
      </c>
      <c r="E9" s="36" t="s">
        <v>37</v>
      </c>
      <c r="K9" s="49" t="s">
        <v>81</v>
      </c>
      <c r="L9" s="50" t="s">
        <v>86</v>
      </c>
      <c r="O9" s="49" t="s">
        <v>78</v>
      </c>
      <c r="P9" s="50" t="s">
        <v>86</v>
      </c>
    </row>
    <row r="10" spans="2:16" ht="44" customHeight="1">
      <c r="B10" s="16" t="s">
        <v>31</v>
      </c>
      <c r="C10" s="11" t="s">
        <v>39</v>
      </c>
      <c r="D10" s="11" t="s">
        <v>38</v>
      </c>
      <c r="E10" s="36" t="s">
        <v>40</v>
      </c>
      <c r="K10" s="51" t="s">
        <v>87</v>
      </c>
      <c r="L10" s="52">
        <v>9041143</v>
      </c>
      <c r="O10" s="51" t="s">
        <v>93</v>
      </c>
      <c r="P10" s="52">
        <v>10791885</v>
      </c>
    </row>
    <row r="11" spans="2:16" ht="44" customHeight="1">
      <c r="B11" s="16" t="s">
        <v>31</v>
      </c>
      <c r="C11" s="11" t="s">
        <v>41</v>
      </c>
      <c r="D11" s="11" t="s">
        <v>42</v>
      </c>
      <c r="E11" s="12" t="s">
        <v>43</v>
      </c>
      <c r="K11" s="51" t="s">
        <v>88</v>
      </c>
      <c r="L11" s="52">
        <v>6983337</v>
      </c>
      <c r="O11" s="51" t="s">
        <v>94</v>
      </c>
      <c r="P11" s="52">
        <v>8292913</v>
      </c>
    </row>
    <row r="12" spans="2:16" ht="44" customHeight="1">
      <c r="B12" s="16" t="s">
        <v>31</v>
      </c>
      <c r="C12" s="11" t="s">
        <v>44</v>
      </c>
      <c r="D12" s="11" t="s">
        <v>41</v>
      </c>
      <c r="E12" s="37" t="s">
        <v>45</v>
      </c>
      <c r="K12" s="51" t="s">
        <v>89</v>
      </c>
      <c r="L12" s="52">
        <v>6058672</v>
      </c>
      <c r="O12" s="51" t="s">
        <v>95</v>
      </c>
      <c r="P12" s="52">
        <v>7597325</v>
      </c>
    </row>
    <row r="13" spans="2:16" ht="44" customHeight="1">
      <c r="B13" s="16" t="s">
        <v>31</v>
      </c>
      <c r="C13" s="11" t="s">
        <v>46</v>
      </c>
      <c r="D13" s="23" t="s">
        <v>47</v>
      </c>
      <c r="E13" s="24" t="s">
        <v>48</v>
      </c>
      <c r="K13" s="51" t="s">
        <v>90</v>
      </c>
      <c r="L13" s="52">
        <v>5778490</v>
      </c>
      <c r="O13" s="51" t="s">
        <v>96</v>
      </c>
      <c r="P13" s="52">
        <v>5722736</v>
      </c>
    </row>
    <row r="14" spans="2:16" ht="44" customHeight="1">
      <c r="B14" s="16" t="s">
        <v>31</v>
      </c>
      <c r="C14" s="11" t="s">
        <v>49</v>
      </c>
      <c r="D14" s="11" t="s">
        <v>46</v>
      </c>
      <c r="E14" s="36" t="s">
        <v>50</v>
      </c>
      <c r="K14" s="51" t="s">
        <v>91</v>
      </c>
      <c r="L14" s="52">
        <v>1655304</v>
      </c>
    </row>
    <row r="15" spans="2:16" ht="44" customHeight="1">
      <c r="B15" s="16" t="s">
        <v>52</v>
      </c>
      <c r="C15" s="11" t="s">
        <v>51</v>
      </c>
      <c r="D15" s="11" t="s">
        <v>42</v>
      </c>
      <c r="E15" s="12" t="s">
        <v>53</v>
      </c>
      <c r="K15" s="53" t="s">
        <v>92</v>
      </c>
      <c r="L15" s="54">
        <v>1447618</v>
      </c>
    </row>
    <row r="16" spans="2:16" ht="44" customHeight="1">
      <c r="B16" s="10" t="s">
        <v>77</v>
      </c>
      <c r="C16" s="11" t="s">
        <v>78</v>
      </c>
      <c r="D16" s="25" t="s">
        <v>79</v>
      </c>
      <c r="E16" s="36" t="s">
        <v>83</v>
      </c>
    </row>
    <row r="17" spans="2:16" ht="44" customHeight="1">
      <c r="B17" t="s">
        <v>80</v>
      </c>
      <c r="C17" s="11" t="s">
        <v>51</v>
      </c>
      <c r="D17" s="25" t="s">
        <v>42</v>
      </c>
      <c r="E17" s="36" t="s">
        <v>84</v>
      </c>
      <c r="K17" s="49" t="s">
        <v>44</v>
      </c>
      <c r="L17" s="50" t="s">
        <v>86</v>
      </c>
      <c r="O17" s="49" t="s">
        <v>100</v>
      </c>
      <c r="P17" s="50" t="s">
        <v>86</v>
      </c>
    </row>
    <row r="18" spans="2:16" ht="44" customHeight="1">
      <c r="B18" t="s">
        <v>80</v>
      </c>
      <c r="C18" s="11" t="s">
        <v>81</v>
      </c>
      <c r="D18" s="25" t="s">
        <v>82</v>
      </c>
      <c r="E18" s="36" t="s">
        <v>85</v>
      </c>
      <c r="K18" s="51" t="s">
        <v>97</v>
      </c>
      <c r="L18" s="52">
        <v>15876776</v>
      </c>
      <c r="O18" s="51" t="s">
        <v>101</v>
      </c>
      <c r="P18" s="52">
        <v>32285150</v>
      </c>
    </row>
    <row r="19" spans="2:16" ht="24.5" customHeight="1">
      <c r="B19" s="10"/>
      <c r="C19" s="11"/>
      <c r="D19" s="25"/>
      <c r="E19" s="12"/>
      <c r="K19" s="51" t="s">
        <v>98</v>
      </c>
      <c r="L19" s="52">
        <v>10284093</v>
      </c>
      <c r="O19" s="51" t="s">
        <v>102</v>
      </c>
      <c r="P19" s="52">
        <v>119709</v>
      </c>
    </row>
    <row r="20" spans="2:16" ht="24.5" customHeight="1" thickBot="1">
      <c r="B20" s="13"/>
      <c r="C20" s="14"/>
      <c r="D20" s="26"/>
      <c r="E20" s="15"/>
      <c r="K20" s="51" t="s">
        <v>99</v>
      </c>
      <c r="L20" s="52">
        <v>6243990</v>
      </c>
    </row>
    <row r="21" spans="2:16" ht="32" customHeight="1" thickTop="1"/>
    <row r="22" spans="2:16" ht="32" customHeight="1">
      <c r="K22" s="49" t="s">
        <v>103</v>
      </c>
      <c r="L22" s="50" t="s">
        <v>86</v>
      </c>
      <c r="O22" s="49" t="s">
        <v>32</v>
      </c>
      <c r="P22" s="50" t="s">
        <v>86</v>
      </c>
    </row>
    <row r="23" spans="2:16" ht="32" customHeight="1">
      <c r="K23" s="51" t="s">
        <v>104</v>
      </c>
      <c r="L23" s="52">
        <v>22790523</v>
      </c>
      <c r="O23" s="51" t="s">
        <v>106</v>
      </c>
      <c r="P23" s="52">
        <v>21865987</v>
      </c>
    </row>
    <row r="24" spans="2:16" ht="32" customHeight="1">
      <c r="K24" s="51" t="s">
        <v>97</v>
      </c>
      <c r="L24" s="52">
        <v>6927608</v>
      </c>
      <c r="O24" s="51" t="s">
        <v>107</v>
      </c>
      <c r="P24" s="52">
        <v>10126321</v>
      </c>
    </row>
    <row r="25" spans="2:16" ht="32" customHeight="1">
      <c r="K25" s="51" t="s">
        <v>105</v>
      </c>
      <c r="L25" s="52">
        <v>2686728</v>
      </c>
      <c r="O25" s="51" t="s">
        <v>108</v>
      </c>
      <c r="P25" s="52">
        <v>412551</v>
      </c>
    </row>
    <row r="26" spans="2:16" ht="32" customHeight="1"/>
    <row r="27" spans="2:16" ht="32" customHeight="1">
      <c r="K27" s="49" t="s">
        <v>36</v>
      </c>
      <c r="L27" s="50" t="s">
        <v>86</v>
      </c>
      <c r="O27" s="49" t="s">
        <v>109</v>
      </c>
      <c r="P27" s="50" t="s">
        <v>86</v>
      </c>
    </row>
    <row r="28" spans="2:16" ht="32" customHeight="1">
      <c r="K28" s="51">
        <v>0</v>
      </c>
      <c r="L28" s="52">
        <v>6204182</v>
      </c>
      <c r="O28" s="51" t="s">
        <v>110</v>
      </c>
      <c r="P28" s="52">
        <v>22416875</v>
      </c>
    </row>
    <row r="29" spans="2:16" ht="32" customHeight="1">
      <c r="K29" s="51">
        <v>1</v>
      </c>
      <c r="L29" s="52">
        <v>5660230</v>
      </c>
      <c r="O29" s="51" t="s">
        <v>111</v>
      </c>
      <c r="P29" s="52">
        <v>6204182</v>
      </c>
    </row>
    <row r="30" spans="2:16" ht="32" customHeight="1">
      <c r="K30" s="51">
        <v>2</v>
      </c>
      <c r="L30" s="52">
        <v>4213830</v>
      </c>
      <c r="O30" s="51" t="s">
        <v>112</v>
      </c>
      <c r="P30" s="52">
        <v>3783802</v>
      </c>
    </row>
    <row r="31" spans="2:16" ht="32" customHeight="1">
      <c r="K31" s="51">
        <v>3</v>
      </c>
      <c r="L31" s="52">
        <v>3840534</v>
      </c>
    </row>
    <row r="32" spans="2:16" ht="32" customHeight="1">
      <c r="K32" s="51">
        <v>4</v>
      </c>
      <c r="L32" s="52">
        <v>3783802</v>
      </c>
    </row>
    <row r="33" spans="11:12" ht="32" customHeight="1">
      <c r="K33" s="53">
        <v>5</v>
      </c>
      <c r="L33" s="54">
        <v>4205791</v>
      </c>
    </row>
    <row r="34" spans="11:12" ht="32" customHeight="1">
      <c r="K34" s="53">
        <v>6</v>
      </c>
      <c r="L34" s="54">
        <v>4496490</v>
      </c>
    </row>
    <row r="35" spans="11:12" ht="32" customHeight="1"/>
    <row r="36" spans="11:12" ht="32" customHeight="1">
      <c r="K36" s="45" t="s">
        <v>113</v>
      </c>
      <c r="L36" s="47" t="s">
        <v>86</v>
      </c>
    </row>
    <row r="37" spans="11:12" ht="32" customHeight="1">
      <c r="K37" s="48" t="s">
        <v>114</v>
      </c>
      <c r="L37" s="46">
        <v>12916111</v>
      </c>
    </row>
    <row r="38" spans="11:12" ht="32" customHeight="1">
      <c r="K38" s="48" t="s">
        <v>115</v>
      </c>
      <c r="L38" s="46">
        <v>11864412</v>
      </c>
    </row>
    <row r="39" spans="11:12" ht="32" customHeight="1">
      <c r="K39" s="48" t="s">
        <v>116</v>
      </c>
      <c r="L39" s="46">
        <v>7624336</v>
      </c>
    </row>
    <row r="40" spans="11:12" ht="32" customHeight="1"/>
    <row r="41" spans="11:12" ht="32" customHeight="1"/>
    <row r="42" spans="11:12" ht="32" customHeight="1"/>
    <row r="43" spans="11:12" ht="32" customHeight="1"/>
    <row r="44" spans="11:12" ht="32" customHeight="1"/>
    <row r="45" spans="11:12" ht="32" customHeight="1"/>
    <row r="46" spans="11:12" ht="32" customHeight="1"/>
    <row r="47" spans="11:12" ht="32" customHeight="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24"/>
  <sheetViews>
    <sheetView showGridLines="0" zoomScale="40" zoomScaleNormal="40" workbookViewId="0">
      <selection activeCell="H13" sqref="H13"/>
    </sheetView>
  </sheetViews>
  <sheetFormatPr defaultColWidth="8.81640625" defaultRowHeight="14.5"/>
  <cols>
    <col min="1" max="1" width="4" customWidth="1"/>
    <col min="2" max="2" width="8.81640625" customWidth="1"/>
    <col min="3" max="3" width="52" customWidth="1"/>
    <col min="4" max="4" width="45.7265625" customWidth="1"/>
    <col min="5" max="5" width="25.26953125" customWidth="1"/>
    <col min="6" max="6" width="78" customWidth="1"/>
    <col min="7" max="7" width="77.453125" customWidth="1"/>
    <col min="8" max="8" width="81.36328125" customWidth="1"/>
    <col min="14" max="14" width="9.36328125" customWidth="1"/>
  </cols>
  <sheetData>
    <row r="1" spans="2:17">
      <c r="Q1" s="21" t="s">
        <v>19</v>
      </c>
    </row>
    <row r="12" spans="2:17" ht="29">
      <c r="B12" s="55" t="s">
        <v>117</v>
      </c>
      <c r="C12" s="55" t="s">
        <v>118</v>
      </c>
      <c r="D12" s="55" t="s">
        <v>119</v>
      </c>
      <c r="E12" s="55" t="s">
        <v>120</v>
      </c>
      <c r="F12" s="55" t="s">
        <v>136</v>
      </c>
    </row>
    <row r="13" spans="2:17" ht="304" customHeight="1">
      <c r="B13" s="56">
        <v>1</v>
      </c>
      <c r="C13" s="56" t="s">
        <v>121</v>
      </c>
      <c r="D13" s="56" t="s">
        <v>139</v>
      </c>
      <c r="E13" s="56" t="s">
        <v>122</v>
      </c>
      <c r="F13" s="55" t="e" vm="1">
        <v>#VALUE!</v>
      </c>
      <c r="G13" s="55" t="e" vm="2">
        <v>#VALUE!</v>
      </c>
    </row>
    <row r="14" spans="2:17" ht="35.5" customHeight="1">
      <c r="B14" s="56"/>
      <c r="C14" s="56"/>
      <c r="D14" s="56"/>
      <c r="E14" s="56"/>
      <c r="F14" s="55" t="s">
        <v>137</v>
      </c>
      <c r="G14" s="55" t="s">
        <v>138</v>
      </c>
    </row>
    <row r="15" spans="2:17" ht="304" customHeight="1">
      <c r="B15" s="56">
        <v>2</v>
      </c>
      <c r="C15" s="56" t="s">
        <v>123</v>
      </c>
      <c r="D15" s="56" t="s">
        <v>140</v>
      </c>
      <c r="E15" s="56" t="s">
        <v>124</v>
      </c>
      <c r="F15" s="55" t="e" vm="3">
        <v>#VALUE!</v>
      </c>
    </row>
    <row r="16" spans="2:17" ht="34" customHeight="1">
      <c r="B16" s="56"/>
      <c r="C16" s="56"/>
      <c r="D16" s="56"/>
      <c r="E16" s="56"/>
      <c r="F16" s="55" t="s">
        <v>141</v>
      </c>
    </row>
    <row r="17" spans="2:8" ht="304" customHeight="1">
      <c r="B17" s="56">
        <v>3</v>
      </c>
      <c r="C17" s="56" t="s">
        <v>125</v>
      </c>
      <c r="D17" s="48" t="s">
        <v>146</v>
      </c>
      <c r="E17" s="56" t="s">
        <v>126</v>
      </c>
      <c r="F17" s="55"/>
    </row>
    <row r="18" spans="2:8" ht="304" customHeight="1">
      <c r="B18" s="56">
        <v>4</v>
      </c>
      <c r="C18" s="56" t="s">
        <v>127</v>
      </c>
      <c r="D18" s="56" t="s">
        <v>147</v>
      </c>
      <c r="E18" s="56" t="s">
        <v>128</v>
      </c>
      <c r="F18" s="55" t="e" vm="4">
        <v>#VALUE!</v>
      </c>
      <c r="G18" s="55" t="e" vm="5">
        <v>#VALUE!</v>
      </c>
      <c r="H18" s="55" t="e" vm="6">
        <v>#VALUE!</v>
      </c>
    </row>
    <row r="19" spans="2:8" ht="37.5" customHeight="1">
      <c r="B19" s="56"/>
      <c r="C19" s="56"/>
      <c r="D19" s="56"/>
      <c r="E19" s="56"/>
      <c r="F19" s="55" t="s">
        <v>142</v>
      </c>
      <c r="G19" s="55" t="s">
        <v>144</v>
      </c>
      <c r="H19" s="55" t="s">
        <v>143</v>
      </c>
    </row>
    <row r="20" spans="2:8" ht="317.5" customHeight="1">
      <c r="B20" s="56">
        <v>5</v>
      </c>
      <c r="C20" s="56" t="s">
        <v>129</v>
      </c>
      <c r="D20" s="48" t="s">
        <v>148</v>
      </c>
      <c r="E20" s="56" t="s">
        <v>145</v>
      </c>
      <c r="F20" s="55" t="e" vm="7">
        <v>#VALUE!</v>
      </c>
    </row>
    <row r="21" spans="2:8" ht="304" customHeight="1">
      <c r="B21" s="56">
        <v>6</v>
      </c>
      <c r="C21" s="56" t="s">
        <v>130</v>
      </c>
      <c r="D21" s="56" t="s">
        <v>149</v>
      </c>
      <c r="E21" s="56" t="s">
        <v>131</v>
      </c>
      <c r="F21" s="55" t="e" vm="8">
        <v>#VALUE!</v>
      </c>
    </row>
    <row r="22" spans="2:8" ht="304" customHeight="1">
      <c r="B22" s="56">
        <v>7</v>
      </c>
      <c r="C22" s="58" t="s">
        <v>132</v>
      </c>
      <c r="D22" s="58" t="s">
        <v>150</v>
      </c>
      <c r="E22" s="58" t="s">
        <v>133</v>
      </c>
      <c r="F22" s="55" t="e" vm="9">
        <v>#VALUE!</v>
      </c>
      <c r="G22" s="55" t="e" vm="10">
        <v>#VALUE!</v>
      </c>
    </row>
    <row r="23" spans="2:8" ht="304" customHeight="1">
      <c r="B23" s="56"/>
      <c r="C23" s="59"/>
      <c r="D23" s="59"/>
      <c r="E23" s="59"/>
      <c r="F23" s="55" t="e" vm="11">
        <v>#VALUE!</v>
      </c>
      <c r="G23" s="55" t="e" vm="12">
        <v>#VALUE!</v>
      </c>
    </row>
    <row r="24" spans="2:8" ht="304" customHeight="1">
      <c r="B24" s="56">
        <v>8</v>
      </c>
      <c r="C24" s="56" t="s">
        <v>134</v>
      </c>
      <c r="D24" s="44" t="s">
        <v>151</v>
      </c>
      <c r="E24" s="56" t="s">
        <v>135</v>
      </c>
      <c r="F24" s="55" t="e" vm="13">
        <v>#VALUE!</v>
      </c>
      <c r="G24" s="55" t="e" vm="14">
        <v>#VALUE!</v>
      </c>
    </row>
  </sheetData>
  <mergeCells count="3">
    <mergeCell ref="E22:E23"/>
    <mergeCell ref="D22:D23"/>
    <mergeCell ref="C22:C23"/>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0"/>
  <sheetViews>
    <sheetView showGridLines="0" topLeftCell="A2" zoomScale="70" zoomScaleNormal="70" workbookViewId="0">
      <selection activeCell="D20" sqref="D20"/>
    </sheetView>
  </sheetViews>
  <sheetFormatPr defaultColWidth="8.81640625" defaultRowHeight="14.5"/>
  <cols>
    <col min="1" max="1" width="4" customWidth="1"/>
    <col min="2" max="2" width="8.7265625" bestFit="1" customWidth="1"/>
    <col min="3" max="3" width="40.08984375" bestFit="1" customWidth="1"/>
    <col min="4" max="4" width="44.81640625" bestFit="1" customWidth="1"/>
    <col min="5" max="5" width="44" customWidth="1"/>
  </cols>
  <sheetData>
    <row r="1" spans="2:17">
      <c r="Q1" s="21" t="s">
        <v>19</v>
      </c>
    </row>
    <row r="12" spans="2:17" ht="29">
      <c r="B12" s="55" t="s">
        <v>117</v>
      </c>
      <c r="C12" s="55" t="s">
        <v>118</v>
      </c>
      <c r="D12" s="55" t="s">
        <v>152</v>
      </c>
      <c r="E12" s="55" t="s">
        <v>153</v>
      </c>
    </row>
    <row r="13" spans="2:17" ht="101.5">
      <c r="B13" s="56">
        <v>1</v>
      </c>
      <c r="C13" s="56" t="s">
        <v>121</v>
      </c>
      <c r="D13" s="56" t="s">
        <v>154</v>
      </c>
      <c r="E13" s="56" t="s">
        <v>155</v>
      </c>
      <c r="H13" s="56"/>
    </row>
    <row r="14" spans="2:17" ht="101.5">
      <c r="B14" s="56">
        <v>2</v>
      </c>
      <c r="C14" s="56" t="s">
        <v>123</v>
      </c>
      <c r="D14" s="56" t="s">
        <v>156</v>
      </c>
      <c r="E14" s="56" t="s">
        <v>157</v>
      </c>
    </row>
    <row r="15" spans="2:17" ht="87">
      <c r="B15" s="56">
        <v>3</v>
      </c>
      <c r="C15" s="56" t="s">
        <v>125</v>
      </c>
      <c r="D15" s="48" t="s">
        <v>158</v>
      </c>
      <c r="E15" s="56" t="s">
        <v>159</v>
      </c>
    </row>
    <row r="16" spans="2:17" ht="101.5">
      <c r="B16" s="56">
        <v>4</v>
      </c>
      <c r="C16" s="56" t="s">
        <v>127</v>
      </c>
      <c r="D16" s="56" t="s">
        <v>160</v>
      </c>
      <c r="E16" s="56" t="s">
        <v>161</v>
      </c>
    </row>
    <row r="17" spans="2:5" ht="87">
      <c r="B17" s="56">
        <v>5</v>
      </c>
      <c r="C17" s="56" t="s">
        <v>129</v>
      </c>
      <c r="D17" s="48" t="s">
        <v>162</v>
      </c>
      <c r="E17" s="56" t="s">
        <v>163</v>
      </c>
    </row>
    <row r="18" spans="2:5" ht="101.5">
      <c r="B18" s="56">
        <v>6</v>
      </c>
      <c r="C18" s="56" t="s">
        <v>130</v>
      </c>
      <c r="D18" s="56" t="s">
        <v>164</v>
      </c>
      <c r="E18" s="56" t="s">
        <v>165</v>
      </c>
    </row>
    <row r="19" spans="2:5" ht="87">
      <c r="B19" s="56">
        <v>7</v>
      </c>
      <c r="C19" s="57" t="s">
        <v>132</v>
      </c>
      <c r="D19" s="56" t="s">
        <v>166</v>
      </c>
      <c r="E19" s="56" t="s">
        <v>167</v>
      </c>
    </row>
    <row r="20" spans="2:5" ht="203">
      <c r="B20" s="56">
        <v>8</v>
      </c>
      <c r="C20" s="56" t="s">
        <v>134</v>
      </c>
      <c r="D20" s="57" t="s">
        <v>168</v>
      </c>
      <c r="E20" s="56" t="s">
        <v>169</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gass be</cp:lastModifiedBy>
  <dcterms:created xsi:type="dcterms:W3CDTF">2020-03-05T18:09:11Z</dcterms:created>
  <dcterms:modified xsi:type="dcterms:W3CDTF">2025-12-11T18:37:47Z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